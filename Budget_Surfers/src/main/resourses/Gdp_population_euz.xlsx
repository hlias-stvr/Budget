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sta1\Budget\Budget_Surfers\src\main\resourses\"/>
    </mc:Choice>
  </mc:AlternateContent>
  <xr:revisionPtr revIDLastSave="0" documentId="13_ncr:1_{D070F55C-9AFA-4A04-A045-CA53DC2BE1DF}" xr6:coauthVersionLast="47" xr6:coauthVersionMax="47" xr10:uidLastSave="{00000000-0000-0000-0000-000000000000}"/>
  <bookViews>
    <workbookView xWindow="-108" yWindow="-108" windowWidth="23256" windowHeight="12456" xr2:uid="{44CB0367-DF64-4552-A937-215DCECEAD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1" l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5" i="1"/>
  <c r="B4" i="1"/>
  <c r="B3" i="1"/>
</calcChain>
</file>

<file path=xl/sharedStrings.xml><?xml version="1.0" encoding="utf-8"?>
<sst xmlns="http://schemas.openxmlformats.org/spreadsheetml/2006/main" count="22" uniqueCount="22">
  <si>
    <t>Column1</t>
  </si>
  <si>
    <t>Column2</t>
  </si>
  <si>
    <t>Column3</t>
  </si>
  <si>
    <t>Αυστρία</t>
  </si>
  <si>
    <t>Βέλγιο</t>
  </si>
  <si>
    <t>Κροατία</t>
  </si>
  <si>
    <t>Κύπρος</t>
  </si>
  <si>
    <t>Εσθονία</t>
  </si>
  <si>
    <t>Φινλανδία</t>
  </si>
  <si>
    <t>Γαλλία</t>
  </si>
  <si>
    <t>Γερμανία</t>
  </si>
  <si>
    <t>Ιρλανδία</t>
  </si>
  <si>
    <t>Ιταλία</t>
  </si>
  <si>
    <t>Λετονία</t>
  </si>
  <si>
    <t>Λιθουανία</t>
  </si>
  <si>
    <t>Λουξεμβούργο</t>
  </si>
  <si>
    <t>Μάλτα</t>
  </si>
  <si>
    <t>Ολλανδία</t>
  </si>
  <si>
    <t>Πορτογαλία</t>
  </si>
  <si>
    <t>Σλοβακία</t>
  </si>
  <si>
    <t>Σλοβενία</t>
  </si>
  <si>
    <t>Ισπανία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</si>
</sst>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charset val="161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1" fontId="1" fillId="2" borderId="1" xfId="0" applyNumberFormat="1" applyFont="1" applyFill="1" applyBorder="1"/>
    <xf numFmtId="1" fontId="1" fillId="2" borderId="2" xfId="0" applyNumberFormat="1" applyFont="1" applyFill="1" applyBorder="1"/>
    <xf numFmtId="1" fontId="0" fillId="3" borderId="1" xfId="0" applyNumberFormat="1" applyFill="1" applyBorder="1"/>
    <xf numFmtId="1" fontId="0" fillId="3" borderId="2" xfId="0" applyNumberFormat="1" applyFill="1" applyBorder="1"/>
    <xf numFmtId="1" fontId="0" fillId="0" borderId="1" xfId="0" applyNumberFormat="1" applyBorder="1"/>
    <xf numFmtId="1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CB274-6D48-4058-837C-3615A55AD01B}">
  <dimension ref="A1:C20"/>
  <sheetViews>
    <sheetView tabSelected="1" workbookViewId="0">
      <selection activeCell="B21" sqref="B21"/>
    </sheetView>
  </sheetViews>
  <sheetFormatPr defaultRowHeight="14.4" x14ac:dyDescent="0.3"/>
  <cols>
    <col min="1" max="1" width="13.6640625" customWidth="1"/>
    <col min="2" max="2" width="33.77734375" customWidth="1"/>
    <col min="3" max="3" width="15.5546875" customWidth="1"/>
  </cols>
  <sheetData>
    <row r="1" spans="1:3" x14ac:dyDescent="0.3">
      <c r="A1" s="1" t="s">
        <v>0</v>
      </c>
      <c r="B1" s="2" t="s">
        <v>1</v>
      </c>
      <c r="C1" s="1" t="s">
        <v>2</v>
      </c>
    </row>
    <row r="2" spans="1:3" x14ac:dyDescent="0.3">
      <c r="A2" s="3" t="s">
        <v>3</v>
      </c>
      <c r="B2" s="4">
        <v>364130392716</v>
      </c>
      <c r="C2" s="3">
        <v>9197213</v>
      </c>
    </row>
    <row r="3" spans="1:3" x14ac:dyDescent="0.3">
      <c r="A3" s="5" t="s">
        <v>4</v>
      </c>
      <c r="B3" s="6">
        <f xml:space="preserve"> 44300 * C3</f>
        <v>524159770700</v>
      </c>
      <c r="C3" s="5">
        <v>11832049</v>
      </c>
    </row>
    <row r="4" spans="1:3" x14ac:dyDescent="0.3">
      <c r="A4" s="3" t="s">
        <v>5</v>
      </c>
      <c r="B4" s="4">
        <f>22500 * C4</f>
        <v>86894257500</v>
      </c>
      <c r="C4" s="3">
        <v>3861967</v>
      </c>
    </row>
    <row r="5" spans="1:3" x14ac:dyDescent="0.3">
      <c r="A5" s="5" t="s">
        <v>6</v>
      </c>
      <c r="B5" s="6">
        <f xml:space="preserve"> 33568 * C5</f>
        <v>31335895840</v>
      </c>
      <c r="C5" s="5">
        <v>933505</v>
      </c>
    </row>
    <row r="6" spans="1:3" x14ac:dyDescent="0.3">
      <c r="A6" s="3" t="s">
        <v>7</v>
      </c>
      <c r="B6" s="4">
        <v>27570000000</v>
      </c>
      <c r="C6" s="3">
        <v>1374687</v>
      </c>
    </row>
    <row r="7" spans="1:3" x14ac:dyDescent="0.3">
      <c r="A7" s="5" t="s">
        <v>8</v>
      </c>
      <c r="B7" s="6">
        <f xml:space="preserve"> 40700 * C7</f>
        <v>228076735700</v>
      </c>
      <c r="C7" s="5">
        <v>5603851</v>
      </c>
    </row>
    <row r="8" spans="1:3" x14ac:dyDescent="0.3">
      <c r="A8" s="3" t="s">
        <v>9</v>
      </c>
      <c r="B8" s="4">
        <f xml:space="preserve"> 38000 * C8</f>
        <v>2599275886000</v>
      </c>
      <c r="C8" s="3">
        <v>68401997</v>
      </c>
    </row>
    <row r="9" spans="1:3" x14ac:dyDescent="0.3">
      <c r="A9" s="5" t="s">
        <v>10</v>
      </c>
      <c r="B9" s="6">
        <f xml:space="preserve"> 43400 * C9</f>
        <v>3621513000000</v>
      </c>
      <c r="C9" s="5">
        <v>83445000</v>
      </c>
    </row>
    <row r="10" spans="1:3" x14ac:dyDescent="0.3">
      <c r="A10" s="3" t="s">
        <v>11</v>
      </c>
      <c r="B10" s="4">
        <f xml:space="preserve"> 79300 * C10</f>
        <v>423763736500</v>
      </c>
      <c r="C10" s="3">
        <v>5343805</v>
      </c>
    </row>
    <row r="11" spans="1:3" x14ac:dyDescent="0.3">
      <c r="A11" s="5" t="s">
        <v>12</v>
      </c>
      <c r="B11" s="6">
        <f xml:space="preserve"> 36600 * C11</f>
        <v>2159024813400</v>
      </c>
      <c r="C11" s="5">
        <v>58989749</v>
      </c>
    </row>
    <row r="12" spans="1:3" x14ac:dyDescent="0.3">
      <c r="A12" s="3" t="s">
        <v>13</v>
      </c>
      <c r="B12" s="4">
        <f xml:space="preserve"> 26600 * C12</f>
        <v>49792061200</v>
      </c>
      <c r="C12" s="3">
        <v>1871882</v>
      </c>
    </row>
    <row r="13" spans="1:3" x14ac:dyDescent="0.3">
      <c r="A13" s="5" t="s">
        <v>14</v>
      </c>
      <c r="B13" s="6">
        <f xml:space="preserve"> 32500 * C13</f>
        <v>93791457500</v>
      </c>
      <c r="C13" s="5">
        <v>2885891</v>
      </c>
    </row>
    <row r="14" spans="1:3" x14ac:dyDescent="0.3">
      <c r="A14" s="3" t="s">
        <v>15</v>
      </c>
      <c r="B14" s="4">
        <f>89800 *  C14</f>
        <v>60350090000</v>
      </c>
      <c r="C14" s="3">
        <v>672050</v>
      </c>
    </row>
    <row r="15" spans="1:3" x14ac:dyDescent="0.3">
      <c r="A15" s="5" t="s">
        <v>16</v>
      </c>
      <c r="B15" s="6">
        <f xml:space="preserve"> 39500 * C15</f>
        <v>22255998500</v>
      </c>
      <c r="C15" s="5">
        <v>563443</v>
      </c>
    </row>
    <row r="16" spans="1:3" x14ac:dyDescent="0.3">
      <c r="A16" s="3" t="s">
        <v>17</v>
      </c>
      <c r="B16" s="4">
        <f xml:space="preserve"> 48900 * C16</f>
        <v>877409863800</v>
      </c>
      <c r="C16" s="3">
        <v>17942942</v>
      </c>
    </row>
    <row r="17" spans="1:3" x14ac:dyDescent="0.3">
      <c r="A17" s="5" t="s">
        <v>18</v>
      </c>
      <c r="B17" s="6">
        <f xml:space="preserve"> 31100 * C17</f>
        <v>330895478600</v>
      </c>
      <c r="C17" s="5">
        <v>10639726</v>
      </c>
    </row>
    <row r="18" spans="1:3" x14ac:dyDescent="0.3">
      <c r="A18" s="3" t="s">
        <v>19</v>
      </c>
      <c r="B18" s="4">
        <f xml:space="preserve"> 27400 * C18</f>
        <v>148636423800</v>
      </c>
      <c r="C18" s="3">
        <v>5424687</v>
      </c>
    </row>
    <row r="19" spans="1:3" x14ac:dyDescent="0.3">
      <c r="A19" s="5" t="s">
        <v>20</v>
      </c>
      <c r="B19" s="6">
        <f xml:space="preserve"> 34400 * C19</f>
        <v>7703845600</v>
      </c>
      <c r="C19" s="5">
        <v>223949</v>
      </c>
    </row>
    <row r="20" spans="1:3" x14ac:dyDescent="0.3">
      <c r="A20" s="3" t="s">
        <v>21</v>
      </c>
      <c r="B20" s="4">
        <f xml:space="preserve"> 33100 * C20</f>
        <v>1609006159800</v>
      </c>
      <c r="C20" s="3">
        <v>48610458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ANGELOS STAVRINOUDIS</dc:creator>
  <cp:lastModifiedBy>ANGELOS STAVRINOUDIS</cp:lastModifiedBy>
  <dcterms:created xsi:type="dcterms:W3CDTF">2025-11-16T13:31:04Z</dcterms:created>
  <dcterms:modified xsi:type="dcterms:W3CDTF">2025-11-16T14:02:54Z</dcterms:modified>
</cp:coreProperties>
</file>